
<file path=[Content_Types].xml><?xml version="1.0" encoding="utf-8"?>
<Types xmlns="http://schemas.openxmlformats.org/package/2006/content-types">
  <Default Extension="emf" ContentType="image/x-emf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openxmlformats.org/package/2006/relationships/metadata/thumbnail" Target="docProps/thumbnail.emf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C:\Users\k.omkari\Downloads\"/>
    </mc:Choice>
  </mc:AlternateContent>
  <xr:revisionPtr revIDLastSave="0" documentId="13_ncr:1_{75EE558B-3F3F-4B0B-A19B-6967EDC243D7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Sheet1 (2)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I3" i="1" l="1"/>
  <c r="I4" i="1"/>
  <c r="I5" i="1"/>
  <c r="I6" i="1"/>
  <c r="I7" i="1"/>
  <c r="I8" i="1"/>
  <c r="I9" i="1"/>
  <c r="I10" i="1"/>
  <c r="I11" i="1"/>
  <c r="I12" i="1"/>
  <c r="I13" i="1"/>
  <c r="I14" i="1"/>
  <c r="I15" i="1"/>
  <c r="I16" i="1"/>
  <c r="I17" i="1"/>
  <c r="I18" i="1"/>
  <c r="I19" i="1"/>
  <c r="I20" i="1"/>
  <c r="I21" i="1"/>
  <c r="I22" i="1"/>
  <c r="I23" i="1"/>
  <c r="I24" i="1"/>
  <c r="I25" i="1"/>
  <c r="I26" i="1"/>
  <c r="I27" i="1"/>
  <c r="I28" i="1"/>
  <c r="I29" i="1"/>
  <c r="I2" i="1"/>
</calcChain>
</file>

<file path=xl/sharedStrings.xml><?xml version="1.0" encoding="utf-8"?>
<sst xmlns="http://schemas.openxmlformats.org/spreadsheetml/2006/main" count="147" uniqueCount="101">
  <si>
    <t>Date</t>
  </si>
  <si>
    <t>Client</t>
  </si>
  <si>
    <t>Department</t>
  </si>
  <si>
    <t>Payment</t>
  </si>
  <si>
    <t>Revenue</t>
  </si>
  <si>
    <t>Profit</t>
  </si>
  <si>
    <t>Profit Margin</t>
  </si>
  <si>
    <t>AMAZON.COM, INC. (XNAS:AMZN)</t>
  </si>
  <si>
    <t>Cloud Tech_Texas</t>
  </si>
  <si>
    <t>Transfer</t>
  </si>
  <si>
    <t>TESLA, INC. (XNAS:TSLA)</t>
  </si>
  <si>
    <t>Strategy_New York</t>
  </si>
  <si>
    <t>PayPal</t>
  </si>
  <si>
    <t>NETFLIX, INC. (XNAS:NFLX)</t>
  </si>
  <si>
    <t>THE PROCTER &amp; GAMBLE COMPANY (XNYS:PG)</t>
  </si>
  <si>
    <t>Operations_Florida</t>
  </si>
  <si>
    <t>THE GOLDMAN SACHS GROUP, INC. (XNYS:GS)</t>
  </si>
  <si>
    <t>Check</t>
  </si>
  <si>
    <t>JPMORGAN CHASE &amp; CO. (XNYS:JPM)</t>
  </si>
  <si>
    <t>MORGAN STANLEY (XNYS:MS)</t>
  </si>
  <si>
    <t>CITIGROUP INC. (XNYS:C)</t>
  </si>
  <si>
    <t>BANK OF AMERICA CORPORATION (XNYS:BAC)</t>
  </si>
  <si>
    <t>Card</t>
  </si>
  <si>
    <t>WALMART INC. (XNYS:WMT)</t>
  </si>
  <si>
    <t>TARGET CORPORATION (XNYS:TGT)</t>
  </si>
  <si>
    <t>COSTCO WHOLESALE CORPORATION (XNAS:COST)</t>
  </si>
  <si>
    <t>MCDONALD'S CORPORATION (XNYS:MCD)</t>
  </si>
  <si>
    <t>Big Data_California</t>
  </si>
  <si>
    <t>EXXON MOBIL CORPORATION (XNYS:XOM)</t>
  </si>
  <si>
    <t>VERIZON COMMUNICATIONS INC. (XNYS:VZ)</t>
  </si>
  <si>
    <t>THE HOME DEPOT, INC. (XNYS:HD)</t>
  </si>
  <si>
    <t>CISCO SYSTEMS, INC. (XNAS:CSCO)</t>
  </si>
  <si>
    <t>CHEVRON CORPORATION (XNYS:CVX)</t>
  </si>
  <si>
    <t>AT&amp;T INC. (XNYS:T)</t>
  </si>
  <si>
    <t>INTEL CORPORATION (XNAS:INTC)</t>
  </si>
  <si>
    <t>GENERAL MOTORS COMPANY (XNYS:GM)</t>
  </si>
  <si>
    <t>MICROSOFT CORPORATION (XNAS:MSFT)</t>
  </si>
  <si>
    <t>COMCAST CORPORATION (XNAS:CMCSA)</t>
  </si>
  <si>
    <t>DELL TECHNOLOGIES INC. (XNYS:DELL)</t>
  </si>
  <si>
    <t>JOHNSON &amp; JOHNSON (XNYS:JNJ)</t>
  </si>
  <si>
    <t>FEDEX CORPORATION (XNYS:FDX)</t>
  </si>
  <si>
    <t>GENERAL ELECTRIC COMPANY (XNYS:GE)</t>
  </si>
  <si>
    <t>LOCKHEED MARTIN CORPORATION (XNYS:LMT)</t>
  </si>
  <si>
    <t>Bill</t>
  </si>
  <si>
    <t>Smith</t>
  </si>
  <si>
    <t>Ken</t>
  </si>
  <si>
    <t>Singh</t>
  </si>
  <si>
    <t>Harley</t>
  </si>
  <si>
    <t>Fritz</t>
  </si>
  <si>
    <t>Nyla</t>
  </si>
  <si>
    <t>Novak</t>
  </si>
  <si>
    <t>David</t>
  </si>
  <si>
    <t>Rasmussen</t>
  </si>
  <si>
    <t>Ivan</t>
  </si>
  <si>
    <t>Hiney</t>
  </si>
  <si>
    <t>Jonha</t>
  </si>
  <si>
    <t>Ma</t>
  </si>
  <si>
    <t>Jordan</t>
  </si>
  <si>
    <t>Boone</t>
  </si>
  <si>
    <t>Kylee</t>
  </si>
  <si>
    <t>Townsend</t>
  </si>
  <si>
    <t>Nora</t>
  </si>
  <si>
    <t>Rollins</t>
  </si>
  <si>
    <t>Brendan</t>
  </si>
  <si>
    <t>Wallace</t>
  </si>
  <si>
    <t>Conor</t>
  </si>
  <si>
    <t>Wise</t>
  </si>
  <si>
    <t>Steven</t>
  </si>
  <si>
    <t>Michael</t>
  </si>
  <si>
    <t>Lucia</t>
  </si>
  <si>
    <t>Mckay</t>
  </si>
  <si>
    <t>Jose</t>
  </si>
  <si>
    <t>Roach</t>
  </si>
  <si>
    <t>Franklin</t>
  </si>
  <si>
    <t>Wrigt</t>
  </si>
  <si>
    <t>Alia</t>
  </si>
  <si>
    <t>Thornton</t>
  </si>
  <si>
    <t>Denzel</t>
  </si>
  <si>
    <t>Flores</t>
  </si>
  <si>
    <t>Bruno</t>
  </si>
  <si>
    <t>Cordova</t>
  </si>
  <si>
    <t>Jaylynn</t>
  </si>
  <si>
    <t>Napp</t>
  </si>
  <si>
    <t>Bruce</t>
  </si>
  <si>
    <t>Rich</t>
  </si>
  <si>
    <t>Arturo</t>
  </si>
  <si>
    <t>Moore</t>
  </si>
  <si>
    <t>Bryce</t>
  </si>
  <si>
    <t>Carpenter</t>
  </si>
  <si>
    <t>Jaidyn</t>
  </si>
  <si>
    <t>Andersen</t>
  </si>
  <si>
    <t>Mark</t>
  </si>
  <si>
    <t>Walm</t>
  </si>
  <si>
    <t>Harry</t>
  </si>
  <si>
    <t>Lee</t>
  </si>
  <si>
    <t>Josh</t>
  </si>
  <si>
    <t>Johnson</t>
  </si>
  <si>
    <t>Mik</t>
  </si>
  <si>
    <t>Naam</t>
  </si>
  <si>
    <t>First Name</t>
  </si>
  <si>
    <t>Last Name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</si>
</sst>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&quot;$&quot;#,##0_);[Red]\(&quot;$&quot;#,##0\)"/>
    <numFmt numFmtId="165" formatCode="0.0%"/>
  </numFmts>
  <fonts count="6" x14ac:knownFonts="1">
    <font>
      <sz val="12"/>
      <color theme="1"/>
      <name val="Calibri"/>
      <scheme val="minor"/>
    </font>
    <font>
      <sz val="12"/>
      <color theme="1"/>
      <name val="Calibri"/>
      <scheme val="minor"/>
    </font>
    <font>
      <sz val="12"/>
      <color theme="1"/>
      <name val="Calibri"/>
    </font>
    <font>
      <b/>
      <sz val="12"/>
      <color theme="1"/>
      <name val="Calibri"/>
      <family val="2"/>
      <scheme val="minor"/>
    </font>
    <font>
      <b/>
      <sz val="12"/>
      <color theme="1"/>
      <name val="Calibri"/>
      <family val="2"/>
    </font>
    <font>
      <sz val="12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14" fontId="2" fillId="0" borderId="0" xfId="0" applyNumberFormat="1" applyFont="1"/>
    <xf numFmtId="164" fontId="2" fillId="0" borderId="0" xfId="0" applyNumberFormat="1" applyFont="1" applyAlignment="1">
      <alignment horizontal="center"/>
    </xf>
    <xf numFmtId="165" fontId="2" fillId="0" borderId="0" xfId="0" applyNumberFormat="1" applyFont="1"/>
    <xf numFmtId="0" fontId="4" fillId="0" borderId="0" xfId="0" applyFont="1" applyAlignment="1">
      <alignment horizontal="center"/>
    </xf>
    <xf numFmtId="0" fontId="3" fillId="0" borderId="0" xfId="0" applyFont="1" applyAlignment="1">
      <alignment horizontal="center"/>
    </xf>
    <xf numFmtId="0" fontId="5" fillId="0" borderId="0" xfId="0" applyFont="1"/>
  </cellXfs>
  <cellStyles count="1">
    <cellStyle name="Normal" xfId="0" builtinId="0"/>
  </cellStyles>
  <dxfs count="10"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scheme val="minor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scheme val="none"/>
      </font>
      <numFmt numFmtId="165" formatCode="0.0%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scheme val="none"/>
      </font>
      <numFmt numFmtId="164" formatCode="&quot;$&quot;#,##0_);[Red]\(&quot;$&quot;#,##0\)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scheme val="none"/>
      </font>
      <numFmt numFmtId="164" formatCode="&quot;$&quot;#,##0_);[Red]\(&quot;$&quot;#,##0\)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scheme val="none"/>
      </font>
      <numFmt numFmtId="19" formatCode="dd/mm/yyyy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3345C182-E1A4-429E-8610-51589ED4B994}" name="Table2" displayName="Table2" ref="A1:I29" totalsRowShown="0" headerRowDxfId="1">
  <autoFilter ref="A1:I29" xr:uid="{3345C182-E1A4-429E-8610-51589ED4B994}"/>
  <tableColumns count="9">
    <tableColumn id="1" xr3:uid="{B9B44917-9487-4F7B-9EF3-896A746C8ED8}" name="Date" dataDxfId="9"/>
    <tableColumn id="2" xr3:uid="{05A62D6F-FF9D-4E07-95A2-8F2FB2B6EA99}" name="Client" dataDxfId="8"/>
    <tableColumn id="3" xr3:uid="{538B1C31-779B-4C18-BCF4-C3A9EFA57744}" name="First Name" dataDxfId="7"/>
    <tableColumn id="11" xr3:uid="{80050487-B90E-480A-ACA0-E3E0858EED36}" name="Last Name" dataDxfId="0"/>
    <tableColumn id="4" xr3:uid="{EBB16F0E-E759-43A7-8633-9F04E005AEDD}" name="Department" dataDxfId="6"/>
    <tableColumn id="5" xr3:uid="{220E6ADA-E694-4163-9DBF-08FC92CC5416}" name="Payment" dataDxfId="5"/>
    <tableColumn id="6" xr3:uid="{9B275C0E-06B0-4741-9F17-215C25A6B251}" name="Revenue" dataDxfId="4"/>
    <tableColumn id="7" xr3:uid="{179DC0B4-DC20-4D1D-8AAB-0F89C227D0AF}" name="Profit" dataDxfId="3"/>
    <tableColumn id="8" xr3:uid="{9A5D03BA-57E4-4D67-AF97-3FB2DC7C63AB}" name="Profit Margin" dataDxfId="2">
      <calculatedColumnFormula>IFERROR(H2/G2,0)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I29"/>
  <sheetViews>
    <sheetView tabSelected="1" zoomScale="124" workbookViewId="0">
      <selection activeCell="D1" sqref="D1"/>
    </sheetView>
  </sheetViews>
  <sheetFormatPr defaultColWidth="11.19921875" defaultRowHeight="15.6" x14ac:dyDescent="0.3"/>
  <cols>
    <col min="1" max="1" width="10.59765625" bestFit="1" customWidth="1"/>
    <col min="2" max="2" width="42.59765625" bestFit="1" customWidth="1"/>
    <col min="3" max="3" width="15.5" bestFit="1" customWidth="1"/>
    <col min="4" max="4" width="15.5" customWidth="1"/>
    <col min="5" max="5" width="17.19921875" bestFit="1" customWidth="1"/>
    <col min="6" max="6" width="12.296875" bestFit="1" customWidth="1"/>
    <col min="7" max="7" width="12.09765625" bestFit="1" customWidth="1"/>
    <col min="8" max="8" width="9.59765625" bestFit="1" customWidth="1"/>
    <col min="9" max="9" width="16" bestFit="1" customWidth="1"/>
    <col min="10" max="24" width="10.59765625" customWidth="1"/>
  </cols>
  <sheetData>
    <row r="1" spans="1:9" s="6" customFormat="1" x14ac:dyDescent="0.3">
      <c r="A1" s="6" t="s">
        <v>0</v>
      </c>
      <c r="B1" s="6" t="s">
        <v>1</v>
      </c>
      <c r="C1" s="5" t="s">
        <v>99</v>
      </c>
      <c r="D1" s="5" t="s">
        <v>100</v>
      </c>
      <c r="E1" s="5" t="s">
        <v>2</v>
      </c>
      <c r="F1" s="5" t="s">
        <v>3</v>
      </c>
      <c r="G1" s="5" t="s">
        <v>4</v>
      </c>
      <c r="H1" s="5" t="s">
        <v>5</v>
      </c>
      <c r="I1" s="5" t="s">
        <v>6</v>
      </c>
    </row>
    <row r="2" spans="1:9" x14ac:dyDescent="0.3">
      <c r="A2" s="2">
        <v>45076</v>
      </c>
      <c r="B2" s="1" t="s">
        <v>7</v>
      </c>
      <c r="C2" s="1" t="s">
        <v>43</v>
      </c>
      <c r="D2" s="1" t="s">
        <v>44</v>
      </c>
      <c r="E2" s="1" t="s">
        <v>8</v>
      </c>
      <c r="F2" s="7" t="s">
        <v>9</v>
      </c>
      <c r="G2" s="3">
        <v>4500</v>
      </c>
      <c r="H2" s="3">
        <v>598</v>
      </c>
      <c r="I2" s="4">
        <f>IFERROR(H2/G2,0)</f>
        <v>0.13288888888888889</v>
      </c>
    </row>
    <row r="3" spans="1:9" x14ac:dyDescent="0.3">
      <c r="A3" s="2">
        <v>45076</v>
      </c>
      <c r="B3" s="1" t="s">
        <v>10</v>
      </c>
      <c r="C3" s="1" t="s">
        <v>45</v>
      </c>
      <c r="D3" s="1" t="s">
        <v>46</v>
      </c>
      <c r="E3" s="1" t="s">
        <v>11</v>
      </c>
      <c r="F3" s="1" t="s">
        <v>12</v>
      </c>
      <c r="G3" s="3">
        <v>3800</v>
      </c>
      <c r="H3" s="3">
        <v>1045</v>
      </c>
      <c r="I3" s="4">
        <f t="shared" ref="I3:I29" si="0">IFERROR(H3/G3,0)</f>
        <v>0.27500000000000002</v>
      </c>
    </row>
    <row r="4" spans="1:9" x14ac:dyDescent="0.3">
      <c r="A4" s="2">
        <v>45076</v>
      </c>
      <c r="B4" s="1" t="s">
        <v>13</v>
      </c>
      <c r="C4" s="1" t="s">
        <v>47</v>
      </c>
      <c r="D4" s="1" t="s">
        <v>48</v>
      </c>
      <c r="E4" s="1" t="s">
        <v>11</v>
      </c>
      <c r="F4" s="7">
        <v>0</v>
      </c>
      <c r="G4" s="3">
        <v>3712.5</v>
      </c>
      <c r="H4" s="3">
        <v>1009</v>
      </c>
      <c r="I4" s="4">
        <f t="shared" si="0"/>
        <v>0.2717845117845118</v>
      </c>
    </row>
    <row r="5" spans="1:9" x14ac:dyDescent="0.3">
      <c r="A5" s="2">
        <v>45076</v>
      </c>
      <c r="B5" s="1" t="s">
        <v>14</v>
      </c>
      <c r="C5" s="1" t="s">
        <v>49</v>
      </c>
      <c r="D5" s="1" t="s">
        <v>50</v>
      </c>
      <c r="E5" s="1" t="s">
        <v>15</v>
      </c>
      <c r="F5">
        <v>0</v>
      </c>
      <c r="G5" s="3">
        <v>0</v>
      </c>
      <c r="H5" s="3">
        <v>779</v>
      </c>
      <c r="I5" s="4">
        <f t="shared" si="0"/>
        <v>0</v>
      </c>
    </row>
    <row r="6" spans="1:9" x14ac:dyDescent="0.3">
      <c r="A6" s="2">
        <v>45076</v>
      </c>
      <c r="B6" s="1" t="s">
        <v>16</v>
      </c>
      <c r="C6" s="1" t="s">
        <v>51</v>
      </c>
      <c r="D6" s="1" t="s">
        <v>52</v>
      </c>
      <c r="E6" s="1" t="s">
        <v>15</v>
      </c>
      <c r="F6" s="1" t="s">
        <v>17</v>
      </c>
      <c r="G6" s="3">
        <v>5000</v>
      </c>
      <c r="H6" s="3">
        <v>684</v>
      </c>
      <c r="I6" s="4">
        <f t="shared" si="0"/>
        <v>0.1368</v>
      </c>
    </row>
    <row r="7" spans="1:9" x14ac:dyDescent="0.3">
      <c r="A7" s="2">
        <v>45077</v>
      </c>
      <c r="B7" s="1" t="s">
        <v>18</v>
      </c>
      <c r="C7" s="1" t="s">
        <v>53</v>
      </c>
      <c r="D7" s="1" t="s">
        <v>54</v>
      </c>
      <c r="E7" s="1" t="s">
        <v>8</v>
      </c>
      <c r="F7" s="1" t="s">
        <v>9</v>
      </c>
      <c r="G7" s="3">
        <v>6100</v>
      </c>
      <c r="H7" s="3">
        <v>544</v>
      </c>
      <c r="I7" s="4">
        <f t="shared" si="0"/>
        <v>8.9180327868852466E-2</v>
      </c>
    </row>
    <row r="8" spans="1:9" x14ac:dyDescent="0.3">
      <c r="A8" s="2">
        <v>45077</v>
      </c>
      <c r="B8" s="1" t="s">
        <v>19</v>
      </c>
      <c r="C8" s="1" t="s">
        <v>55</v>
      </c>
      <c r="D8" s="1" t="s">
        <v>56</v>
      </c>
      <c r="E8" s="1" t="s">
        <v>8</v>
      </c>
      <c r="F8" s="1" t="s">
        <v>9</v>
      </c>
      <c r="G8" s="3">
        <v>4625</v>
      </c>
      <c r="H8" s="3">
        <v>670</v>
      </c>
      <c r="I8" s="4">
        <f t="shared" si="0"/>
        <v>0.14486486486486486</v>
      </c>
    </row>
    <row r="9" spans="1:9" x14ac:dyDescent="0.3">
      <c r="A9" s="2">
        <v>45077</v>
      </c>
      <c r="B9" s="1" t="s">
        <v>20</v>
      </c>
      <c r="C9" s="1" t="s">
        <v>57</v>
      </c>
      <c r="D9" s="1" t="s">
        <v>58</v>
      </c>
      <c r="E9" s="1" t="s">
        <v>8</v>
      </c>
      <c r="F9" s="1" t="s">
        <v>9</v>
      </c>
      <c r="G9" s="3">
        <v>3800</v>
      </c>
      <c r="H9" s="3">
        <v>2045</v>
      </c>
      <c r="I9" s="4">
        <f t="shared" si="0"/>
        <v>0.53815789473684206</v>
      </c>
    </row>
    <row r="10" spans="1:9" x14ac:dyDescent="0.3">
      <c r="A10" s="2">
        <v>45077</v>
      </c>
      <c r="B10" s="1" t="s">
        <v>21</v>
      </c>
      <c r="C10" s="1" t="s">
        <v>59</v>
      </c>
      <c r="D10" s="1" t="s">
        <v>60</v>
      </c>
      <c r="E10" s="1" t="s">
        <v>8</v>
      </c>
      <c r="F10" s="1" t="s">
        <v>22</v>
      </c>
      <c r="G10" s="3">
        <v>3600</v>
      </c>
      <c r="H10" s="3">
        <v>1564</v>
      </c>
      <c r="I10" s="4">
        <f t="shared" si="0"/>
        <v>0.43444444444444447</v>
      </c>
    </row>
    <row r="11" spans="1:9" x14ac:dyDescent="0.3">
      <c r="A11" s="2">
        <v>45077</v>
      </c>
      <c r="B11" s="1" t="s">
        <v>23</v>
      </c>
      <c r="C11" s="1" t="s">
        <v>61</v>
      </c>
      <c r="D11" s="1" t="s">
        <v>62</v>
      </c>
      <c r="E11" s="1" t="s">
        <v>8</v>
      </c>
      <c r="F11" s="1" t="s">
        <v>17</v>
      </c>
      <c r="G11" s="3">
        <v>5100</v>
      </c>
      <c r="H11" s="3">
        <v>1220</v>
      </c>
      <c r="I11" s="4">
        <f t="shared" si="0"/>
        <v>0.23921568627450981</v>
      </c>
    </row>
    <row r="12" spans="1:9" x14ac:dyDescent="0.3">
      <c r="A12" s="2">
        <v>45077</v>
      </c>
      <c r="B12" s="1" t="s">
        <v>24</v>
      </c>
      <c r="C12" s="1" t="s">
        <v>63</v>
      </c>
      <c r="D12" s="1" t="s">
        <v>64</v>
      </c>
      <c r="E12" s="1" t="s">
        <v>8</v>
      </c>
      <c r="F12" s="1" t="s">
        <v>17</v>
      </c>
      <c r="G12" s="3">
        <v>4750</v>
      </c>
      <c r="H12" s="3">
        <v>1435</v>
      </c>
      <c r="I12" s="4">
        <f t="shared" si="0"/>
        <v>0.30210526315789471</v>
      </c>
    </row>
    <row r="13" spans="1:9" x14ac:dyDescent="0.3">
      <c r="A13" s="2">
        <v>45077</v>
      </c>
      <c r="B13" s="1" t="s">
        <v>25</v>
      </c>
      <c r="C13" s="1" t="s">
        <v>65</v>
      </c>
      <c r="D13" s="1" t="s">
        <v>66</v>
      </c>
      <c r="E13" s="1" t="s">
        <v>15</v>
      </c>
      <c r="F13" s="1" t="s">
        <v>9</v>
      </c>
      <c r="G13" s="3">
        <v>6000</v>
      </c>
      <c r="H13" s="3">
        <v>998</v>
      </c>
      <c r="I13" s="4">
        <f t="shared" si="0"/>
        <v>0.16633333333333333</v>
      </c>
    </row>
    <row r="14" spans="1:9" x14ac:dyDescent="0.3">
      <c r="A14" s="2">
        <v>45077</v>
      </c>
      <c r="B14" s="1" t="s">
        <v>26</v>
      </c>
      <c r="C14" s="1" t="s">
        <v>67</v>
      </c>
      <c r="D14" s="1" t="s">
        <v>68</v>
      </c>
      <c r="E14" s="1" t="s">
        <v>27</v>
      </c>
      <c r="F14" s="1" t="s">
        <v>17</v>
      </c>
      <c r="G14" s="3">
        <v>4500</v>
      </c>
      <c r="H14" s="3">
        <v>780</v>
      </c>
      <c r="I14" s="4">
        <f t="shared" si="0"/>
        <v>0.17333333333333334</v>
      </c>
    </row>
    <row r="15" spans="1:9" x14ac:dyDescent="0.3">
      <c r="A15" s="2">
        <v>45078</v>
      </c>
      <c r="B15" s="1" t="s">
        <v>28</v>
      </c>
      <c r="C15" s="1" t="s">
        <v>69</v>
      </c>
      <c r="D15" s="1" t="s">
        <v>70</v>
      </c>
      <c r="E15" s="1" t="s">
        <v>27</v>
      </c>
      <c r="F15" s="1" t="s">
        <v>22</v>
      </c>
      <c r="G15" s="3">
        <v>0</v>
      </c>
      <c r="H15" s="3">
        <v>1044</v>
      </c>
      <c r="I15" s="4">
        <f t="shared" si="0"/>
        <v>0</v>
      </c>
    </row>
    <row r="16" spans="1:9" x14ac:dyDescent="0.3">
      <c r="A16" s="2">
        <v>45078</v>
      </c>
      <c r="B16" s="1" t="s">
        <v>29</v>
      </c>
      <c r="C16" s="1" t="s">
        <v>71</v>
      </c>
      <c r="D16" s="1" t="s">
        <v>72</v>
      </c>
      <c r="E16" s="1" t="s">
        <v>27</v>
      </c>
      <c r="F16" s="1" t="s">
        <v>9</v>
      </c>
      <c r="G16" s="3">
        <v>3712.5</v>
      </c>
      <c r="H16" s="3">
        <v>1222</v>
      </c>
      <c r="I16" s="4">
        <f t="shared" si="0"/>
        <v>0.32915824915824915</v>
      </c>
    </row>
    <row r="17" spans="1:9" x14ac:dyDescent="0.3">
      <c r="A17" s="2">
        <v>45078</v>
      </c>
      <c r="B17" s="1" t="s">
        <v>30</v>
      </c>
      <c r="C17" s="1" t="s">
        <v>73</v>
      </c>
      <c r="D17" s="1" t="s">
        <v>74</v>
      </c>
      <c r="E17" s="1" t="s">
        <v>27</v>
      </c>
      <c r="F17" s="1" t="s">
        <v>9</v>
      </c>
      <c r="G17" s="3">
        <v>4950</v>
      </c>
      <c r="H17" s="3">
        <v>1065</v>
      </c>
      <c r="I17" s="4">
        <f t="shared" si="0"/>
        <v>0.21515151515151515</v>
      </c>
    </row>
    <row r="18" spans="1:9" x14ac:dyDescent="0.3">
      <c r="A18" s="2">
        <v>45078</v>
      </c>
      <c r="B18" s="1" t="s">
        <v>31</v>
      </c>
      <c r="C18" s="1" t="s">
        <v>75</v>
      </c>
      <c r="D18" s="1" t="s">
        <v>76</v>
      </c>
      <c r="E18" s="1" t="s">
        <v>15</v>
      </c>
      <c r="F18" s="1" t="s">
        <v>9</v>
      </c>
      <c r="G18" s="3">
        <v>4750</v>
      </c>
      <c r="H18" s="3">
        <v>810</v>
      </c>
      <c r="I18" s="4">
        <f t="shared" si="0"/>
        <v>0.17052631578947369</v>
      </c>
    </row>
    <row r="19" spans="1:9" x14ac:dyDescent="0.3">
      <c r="A19" s="2">
        <v>45078</v>
      </c>
      <c r="B19" s="1" t="s">
        <v>32</v>
      </c>
      <c r="C19" s="1" t="s">
        <v>77</v>
      </c>
      <c r="D19" s="1" t="s">
        <v>78</v>
      </c>
      <c r="E19" s="1" t="s">
        <v>15</v>
      </c>
      <c r="F19" s="1" t="s">
        <v>9</v>
      </c>
      <c r="G19" s="3">
        <v>7320</v>
      </c>
      <c r="H19" s="3">
        <v>933</v>
      </c>
      <c r="I19" s="4">
        <f t="shared" si="0"/>
        <v>0.12745901639344262</v>
      </c>
    </row>
    <row r="20" spans="1:9" x14ac:dyDescent="0.3">
      <c r="A20" s="2">
        <v>45078</v>
      </c>
      <c r="B20" s="1" t="s">
        <v>33</v>
      </c>
      <c r="C20" s="1" t="s">
        <v>79</v>
      </c>
      <c r="D20" s="1" t="s">
        <v>80</v>
      </c>
      <c r="E20" s="1" t="s">
        <v>27</v>
      </c>
      <c r="F20" s="1" t="s">
        <v>9</v>
      </c>
      <c r="G20" s="3">
        <v>5087.5</v>
      </c>
      <c r="H20" s="3">
        <v>655</v>
      </c>
      <c r="I20" s="4">
        <f t="shared" si="0"/>
        <v>0.12874692874692875</v>
      </c>
    </row>
    <row r="21" spans="1:9" x14ac:dyDescent="0.3">
      <c r="A21" s="2">
        <v>45078</v>
      </c>
      <c r="B21" s="1" t="s">
        <v>34</v>
      </c>
      <c r="C21" s="1" t="s">
        <v>81</v>
      </c>
      <c r="D21" s="1" t="s">
        <v>82</v>
      </c>
      <c r="E21" s="1" t="s">
        <v>27</v>
      </c>
      <c r="F21" s="1" t="s">
        <v>9</v>
      </c>
      <c r="G21" s="3">
        <v>4500</v>
      </c>
      <c r="H21" s="3">
        <v>722</v>
      </c>
      <c r="I21" s="4">
        <f t="shared" si="0"/>
        <v>0.16044444444444445</v>
      </c>
    </row>
    <row r="22" spans="1:9" x14ac:dyDescent="0.3">
      <c r="A22" s="2">
        <v>45078</v>
      </c>
      <c r="B22" s="1" t="s">
        <v>35</v>
      </c>
      <c r="C22" s="1" t="s">
        <v>83</v>
      </c>
      <c r="D22" s="1" t="s">
        <v>84</v>
      </c>
      <c r="E22" s="1" t="s">
        <v>27</v>
      </c>
      <c r="F22" s="1" t="s">
        <v>22</v>
      </c>
      <c r="G22" s="3">
        <v>4250</v>
      </c>
      <c r="H22" s="3">
        <v>901</v>
      </c>
      <c r="I22" s="4">
        <f t="shared" si="0"/>
        <v>0.21199999999999999</v>
      </c>
    </row>
    <row r="23" spans="1:9" x14ac:dyDescent="0.3">
      <c r="A23" s="2">
        <v>45079</v>
      </c>
      <c r="B23" s="1" t="s">
        <v>36</v>
      </c>
      <c r="C23" s="1" t="s">
        <v>85</v>
      </c>
      <c r="D23" s="1" t="s">
        <v>86</v>
      </c>
      <c r="E23" s="1" t="s">
        <v>27</v>
      </c>
      <c r="F23" s="1" t="s">
        <v>12</v>
      </c>
      <c r="G23" s="3">
        <v>5250</v>
      </c>
      <c r="H23" s="3">
        <v>1349</v>
      </c>
      <c r="I23" s="4">
        <f t="shared" si="0"/>
        <v>0.25695238095238093</v>
      </c>
    </row>
    <row r="24" spans="1:9" x14ac:dyDescent="0.3">
      <c r="A24" s="2">
        <v>45079</v>
      </c>
      <c r="B24" s="1" t="s">
        <v>37</v>
      </c>
      <c r="C24" s="1" t="s">
        <v>87</v>
      </c>
      <c r="D24" s="1" t="s">
        <v>88</v>
      </c>
      <c r="E24" s="1" t="s">
        <v>11</v>
      </c>
      <c r="F24" s="1" t="s">
        <v>12</v>
      </c>
      <c r="G24" s="3">
        <v>6500</v>
      </c>
      <c r="H24" s="3">
        <v>1288</v>
      </c>
      <c r="I24" s="4">
        <f t="shared" si="0"/>
        <v>0.19815384615384615</v>
      </c>
    </row>
    <row r="25" spans="1:9" x14ac:dyDescent="0.3">
      <c r="A25" s="2">
        <v>45079</v>
      </c>
      <c r="B25" s="1" t="s">
        <v>38</v>
      </c>
      <c r="C25" s="1" t="s">
        <v>89</v>
      </c>
      <c r="D25" s="1" t="s">
        <v>90</v>
      </c>
      <c r="E25" s="1" t="s">
        <v>11</v>
      </c>
      <c r="F25" s="1" t="s">
        <v>12</v>
      </c>
      <c r="G25" s="3">
        <v>7500</v>
      </c>
      <c r="H25" s="3">
        <v>1664</v>
      </c>
      <c r="I25" s="4">
        <f t="shared" si="0"/>
        <v>0.22186666666666666</v>
      </c>
    </row>
    <row r="26" spans="1:9" x14ac:dyDescent="0.3">
      <c r="A26" s="2">
        <v>45079</v>
      </c>
      <c r="B26" s="1" t="s">
        <v>39</v>
      </c>
      <c r="C26" s="1" t="s">
        <v>91</v>
      </c>
      <c r="D26" s="1" t="s">
        <v>92</v>
      </c>
      <c r="E26" s="1" t="s">
        <v>11</v>
      </c>
      <c r="F26" s="1" t="s">
        <v>9</v>
      </c>
      <c r="G26" s="3">
        <v>5500</v>
      </c>
      <c r="H26" s="3">
        <v>1320</v>
      </c>
      <c r="I26" s="4">
        <f t="shared" si="0"/>
        <v>0.24</v>
      </c>
    </row>
    <row r="27" spans="1:9" x14ac:dyDescent="0.3">
      <c r="A27" s="2">
        <v>45079</v>
      </c>
      <c r="B27" s="1" t="s">
        <v>40</v>
      </c>
      <c r="C27" s="1" t="s">
        <v>93</v>
      </c>
      <c r="D27" s="1" t="s">
        <v>94</v>
      </c>
      <c r="E27" s="1" t="s">
        <v>11</v>
      </c>
      <c r="F27" s="1" t="s">
        <v>9</v>
      </c>
      <c r="G27" s="3">
        <v>4625</v>
      </c>
      <c r="H27" s="3">
        <v>1001</v>
      </c>
      <c r="I27" s="4">
        <f t="shared" si="0"/>
        <v>0.21643243243243243</v>
      </c>
    </row>
    <row r="28" spans="1:9" x14ac:dyDescent="0.3">
      <c r="A28" s="2">
        <v>45079</v>
      </c>
      <c r="B28" s="1" t="s">
        <v>41</v>
      </c>
      <c r="C28" s="1" t="s">
        <v>95</v>
      </c>
      <c r="D28" s="1" t="s">
        <v>96</v>
      </c>
      <c r="E28" s="1" t="s">
        <v>11</v>
      </c>
      <c r="F28" s="1" t="s">
        <v>9</v>
      </c>
      <c r="G28" s="3">
        <v>4500</v>
      </c>
      <c r="H28" s="3">
        <v>960</v>
      </c>
      <c r="I28" s="4">
        <f t="shared" si="0"/>
        <v>0.21333333333333335</v>
      </c>
    </row>
    <row r="29" spans="1:9" x14ac:dyDescent="0.3">
      <c r="A29" s="2">
        <v>45079</v>
      </c>
      <c r="B29" s="1" t="s">
        <v>42</v>
      </c>
      <c r="C29" s="1" t="s">
        <v>97</v>
      </c>
      <c r="D29" s="1" t="s">
        <v>98</v>
      </c>
      <c r="E29" s="1" t="s">
        <v>11</v>
      </c>
      <c r="F29" s="1" t="s">
        <v>22</v>
      </c>
      <c r="G29" s="3">
        <v>5400</v>
      </c>
      <c r="H29" s="3">
        <v>540</v>
      </c>
      <c r="I29" s="4">
        <f t="shared" si="0"/>
        <v>0.1</v>
      </c>
    </row>
  </sheetData>
  <dataConsolidate/>
  <pageMargins left="0.7" right="0.7" top="0.75" bottom="0.75" header="0" footer="0"/>
  <pageSetup orientation="landscape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 (2)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k.omkari</dc:creator>
  <cp:lastModifiedBy>kasula omkari</cp:lastModifiedBy>
  <dcterms:created xsi:type="dcterms:W3CDTF">2026-09-13T15:13:17Z</dcterms:created>
  <dcterms:modified xsi:type="dcterms:W3CDTF">2026-09-15T10:36:28Z</dcterms:modified>
</cp:coreProperties>
</file>